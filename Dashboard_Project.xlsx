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hamw\OneDrive\Desktop\"/>
    </mc:Choice>
  </mc:AlternateContent>
  <xr:revisionPtr revIDLastSave="0" documentId="8_{799A49AB-2433-4A28-AE54-D672282FCB77}" xr6:coauthVersionLast="47" xr6:coauthVersionMax="47" xr10:uidLastSave="{00000000-0000-0000-0000-000000000000}"/>
  <bookViews>
    <workbookView xWindow="-96" yWindow="0" windowWidth="11712" windowHeight="12336" activeTab="2" xr2:uid="{4657B2C7-3544-4FAC-B249-F76F0CBD54FE}"/>
  </bookViews>
  <sheets>
    <sheet name="Raw_data" sheetId="1" r:id="rId1"/>
    <sheet name="Analysis" sheetId="2" r:id="rId2"/>
    <sheet name="Dashboard" sheetId="3" r:id="rId3"/>
  </sheets>
  <calcPr calcId="191029"/>
  <pivotCaches>
    <pivotCache cacheId="1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" l="1"/>
  <c r="H2" i="1"/>
  <c r="H3" i="1"/>
  <c r="H4" i="1"/>
  <c r="H5" i="1"/>
  <c r="H6" i="1"/>
  <c r="H7" i="1"/>
  <c r="H8" i="1"/>
  <c r="H9" i="1"/>
  <c r="H10" i="1"/>
  <c r="G3" i="1"/>
  <c r="G4" i="1"/>
  <c r="G5" i="1"/>
  <c r="G6" i="1"/>
  <c r="G7" i="1"/>
  <c r="G8" i="1"/>
  <c r="G9" i="1"/>
  <c r="G10" i="1"/>
  <c r="G11" i="1"/>
  <c r="G2" i="1"/>
</calcChain>
</file>

<file path=xl/sharedStrings.xml><?xml version="1.0" encoding="utf-8"?>
<sst xmlns="http://schemas.openxmlformats.org/spreadsheetml/2006/main" count="61" uniqueCount="23">
  <si>
    <t>Date</t>
  </si>
  <si>
    <t>Region</t>
  </si>
  <si>
    <t>SalesPerson</t>
  </si>
  <si>
    <t>Product</t>
  </si>
  <si>
    <t>Sales</t>
  </si>
  <si>
    <t>Target</t>
  </si>
  <si>
    <t>West</t>
  </si>
  <si>
    <t>East</t>
  </si>
  <si>
    <t>Shraddha</t>
  </si>
  <si>
    <t>Shreyash</t>
  </si>
  <si>
    <t>Shruti</t>
  </si>
  <si>
    <t>Rahul</t>
  </si>
  <si>
    <t>Laptop</t>
  </si>
  <si>
    <t>Mobile</t>
  </si>
  <si>
    <t>Tab</t>
  </si>
  <si>
    <t>Target_Status</t>
  </si>
  <si>
    <t>Performance_Percentage</t>
  </si>
  <si>
    <t>Row Labels</t>
  </si>
  <si>
    <t>Grand Total</t>
  </si>
  <si>
    <t>Sum of Sales</t>
  </si>
  <si>
    <t>Achieved</t>
  </si>
  <si>
    <t>Not Achieved</t>
  </si>
  <si>
    <t>Count of Target_Status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</si>
</sst>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6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14" fontId="0" fillId="3" borderId="3" xfId="0" applyNumberFormat="1" applyFont="1" applyFill="1" applyBorder="1" applyAlignment="1">
      <alignment horizontal="center"/>
    </xf>
    <xf numFmtId="0" fontId="0" fillId="3" borderId="4" xfId="0" applyFont="1" applyFill="1" applyBorder="1" applyAlignment="1">
      <alignment horizontal="center"/>
    </xf>
    <xf numFmtId="1" fontId="0" fillId="3" borderId="4" xfId="0" applyNumberFormat="1" applyFont="1" applyFill="1" applyBorder="1" applyAlignment="1">
      <alignment horizontal="center"/>
    </xf>
    <xf numFmtId="1" fontId="0" fillId="3" borderId="5" xfId="0" applyNumberFormat="1" applyFont="1" applyFill="1" applyBorder="1" applyAlignment="1">
      <alignment horizontal="center"/>
    </xf>
    <xf numFmtId="14" fontId="0" fillId="0" borderId="3" xfId="0" applyNumberFormat="1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1" fontId="0" fillId="0" borderId="4" xfId="0" applyNumberFormat="1" applyFont="1" applyBorder="1" applyAlignment="1">
      <alignment horizontal="center"/>
    </xf>
    <xf numFmtId="1" fontId="0" fillId="0" borderId="5" xfId="0" applyNumberFormat="1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1" fontId="0" fillId="0" borderId="1" xfId="0" applyNumberFormat="1" applyFont="1" applyBorder="1" applyAlignment="1">
      <alignment horizontal="center"/>
    </xf>
    <xf numFmtId="1" fontId="0" fillId="0" borderId="2" xfId="0" applyNumberFormat="1" applyFont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9" fontId="0" fillId="3" borderId="3" xfId="0" applyNumberFormat="1" applyFont="1" applyFill="1" applyBorder="1" applyAlignment="1">
      <alignment horizontal="center"/>
    </xf>
    <xf numFmtId="14" fontId="0" fillId="3" borderId="4" xfId="0" applyNumberFormat="1" applyFont="1" applyFill="1" applyBorder="1" applyAlignment="1">
      <alignment horizontal="center"/>
    </xf>
    <xf numFmtId="14" fontId="0" fillId="0" borderId="4" xfId="0" applyNumberFormat="1" applyFont="1" applyBorder="1" applyAlignment="1">
      <alignment horizontal="center"/>
    </xf>
    <xf numFmtId="14" fontId="0" fillId="0" borderId="1" xfId="0" applyNumberFormat="1" applyFont="1" applyBorder="1" applyAlignment="1">
      <alignment horizontal="center"/>
    </xf>
    <xf numFmtId="9" fontId="0" fillId="4" borderId="3" xfId="0" applyNumberFormat="1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[Dashboard_Project.xlsx]Analysis!Region_Sales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Analysis!$A$2:$A$4</c:f>
              <c:strCache>
                <c:ptCount val="2"/>
                <c:pt idx="0">
                  <c:v>East</c:v>
                </c:pt>
                <c:pt idx="1">
                  <c:v>West</c:v>
                </c:pt>
              </c:strCache>
            </c:strRef>
          </c:cat>
          <c:val>
            <c:numRef>
              <c:f>Analysis!$B$2:$B$4</c:f>
              <c:numCache>
                <c:formatCode>0</c:formatCode>
                <c:ptCount val="2"/>
                <c:pt idx="0">
                  <c:v>190000</c:v>
                </c:pt>
                <c:pt idx="1">
                  <c:v>178000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65-4B83-8E08-9CD81E5545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9649983"/>
        <c:axId val="849648543"/>
      </c:barChart>
      <c:catAx>
        <c:axId val="84964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648543"/>
        <c:crosses val="autoZero"/>
        <c:auto val="1"/>
        <c:lblAlgn val="ctr"/>
        <c:lblOffset val="100"/>
        <c:noMultiLvlLbl val="0"/>
      </c:catAx>
      <c:valAx>
        <c:axId val="849648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649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[Dashboard_Project.xlsx]Analysis!PivotTable3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7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8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Analysis!$F$1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dPt>
            <c:idx val="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E30-473E-B7D7-E25D2784C78D}"/>
              </c:ext>
            </c:extLst>
          </c:dPt>
          <c:dPt>
            <c:idx val="1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E30-473E-B7D7-E25D2784C78D}"/>
              </c:ext>
            </c:extLst>
          </c:dPt>
          <c:dPt>
            <c:idx val="2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E30-473E-B7D7-E25D2784C78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Analysis!$E$2:$E$5</c:f>
              <c:strCache>
                <c:ptCount val="3"/>
                <c:pt idx="0">
                  <c:v>Laptop</c:v>
                </c:pt>
                <c:pt idx="1">
                  <c:v>Mobile</c:v>
                </c:pt>
                <c:pt idx="2">
                  <c:v>Tab</c:v>
                </c:pt>
              </c:strCache>
            </c:strRef>
          </c:cat>
          <c:val>
            <c:numRef>
              <c:f>Analysis!$F$2:$F$5</c:f>
              <c:numCache>
                <c:formatCode>0</c:formatCode>
                <c:ptCount val="3"/>
                <c:pt idx="0">
                  <c:v>155000</c:v>
                </c:pt>
                <c:pt idx="1">
                  <c:v>80000</c:v>
                </c:pt>
                <c:pt idx="2">
                  <c:v>133000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30-473E-B7D7-E25D2784C78D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[Dashboard_Project.xlsx]Analysis!PivotTable4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rgbClr val="4472C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Analysis!$J$1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Analysis!$I$2:$I$6</c:f>
              <c:strCache>
                <c:ptCount val="4"/>
                <c:pt idx="0">
                  <c:v>Rahul</c:v>
                </c:pt>
                <c:pt idx="1">
                  <c:v>Shraddha</c:v>
                </c:pt>
                <c:pt idx="2">
                  <c:v>Shreyash</c:v>
                </c:pt>
                <c:pt idx="3">
                  <c:v>Shruti</c:v>
                </c:pt>
              </c:strCache>
            </c:strRef>
          </c:cat>
          <c:val>
            <c:numRef>
              <c:f>Analysis!$J$2:$J$6</c:f>
              <c:numCache>
                <c:formatCode>0</c:formatCode>
                <c:ptCount val="4"/>
                <c:pt idx="0">
                  <c:v>74000</c:v>
                </c:pt>
                <c:pt idx="1">
                  <c:v>121000</c:v>
                </c:pt>
                <c:pt idx="2">
                  <c:v>116000</c:v>
                </c:pt>
                <c:pt idx="3">
                  <c:v>57000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D8-4684-99AF-98517BE0B2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851501695"/>
        <c:axId val="916972191"/>
      </c:barChart>
      <c:catAx>
        <c:axId val="8515016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972191"/>
        <c:crosses val="autoZero"/>
        <c:auto val="1"/>
        <c:lblAlgn val="ctr"/>
        <c:lblOffset val="100"/>
        <c:noMultiLvlLbl val="0"/>
      </c:catAx>
      <c:valAx>
        <c:axId val="916972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501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[Dashboard_Project.xlsx]Analysis!PivotTable5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Analysis!$B$15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03F-47F2-98C8-C7844DF7C32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03F-47F2-98C8-C7844DF7C326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Analysis!$A$16:$A$18</c:f>
              <c:strCache>
                <c:ptCount val="2"/>
                <c:pt idx="0">
                  <c:v>Achieved</c:v>
                </c:pt>
                <c:pt idx="1">
                  <c:v>Not Achieved</c:v>
                </c:pt>
              </c:strCache>
            </c:strRef>
          </c:cat>
          <c:val>
            <c:numRef>
              <c:f>Analysis!$B$16:$B$18</c:f>
              <c:numCache>
                <c:formatCode>General</c:formatCode>
                <c:ptCount val="2"/>
                <c:pt idx="0">
                  <c:v>7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03F-47F2-98C8-C7844DF7C32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6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3</xdr:row>
      <xdr:rowOff>7620</xdr:rowOff>
    </xdr:from>
    <xdr:to>
      <xdr:col>7</xdr:col>
      <xdr:colOff>457200</xdr:colOff>
      <xdr:row>18</xdr:row>
      <xdr:rowOff>7620</xdr:rowOff>
    </xdr:to>
    <xdr:graphicFrame macro="">
      <xdr:nvGraphicFramePr>
        <xdr:cNvPr id="2" name="Region-wise Sales">
          <a:extLst>
            <a:ext uri="{FF2B5EF4-FFF2-40B4-BE49-F238E27FC236}">
              <a16:creationId xmlns:a16="http://schemas.microsoft.com/office/drawing/2014/main" id="{AAF2227C-26B9-4BFC-8206-8699BAFE0F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601980</xdr:colOff>
      <xdr:row>2</xdr:row>
      <xdr:rowOff>152400</xdr:rowOff>
    </xdr:from>
    <xdr:to>
      <xdr:col>17</xdr:col>
      <xdr:colOff>297180</xdr:colOff>
      <xdr:row>17</xdr:row>
      <xdr:rowOff>152400</xdr:rowOff>
    </xdr:to>
    <xdr:graphicFrame macro="">
      <xdr:nvGraphicFramePr>
        <xdr:cNvPr id="3" name="Product-wise Sales">
          <a:extLst>
            <a:ext uri="{FF2B5EF4-FFF2-40B4-BE49-F238E27FC236}">
              <a16:creationId xmlns:a16="http://schemas.microsoft.com/office/drawing/2014/main" id="{3203DADE-E124-4AF8-B591-49B248F062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320040</xdr:colOff>
      <xdr:row>22</xdr:row>
      <xdr:rowOff>22860</xdr:rowOff>
    </xdr:from>
    <xdr:to>
      <xdr:col>8</xdr:col>
      <xdr:colOff>15240</xdr:colOff>
      <xdr:row>37</xdr:row>
      <xdr:rowOff>22860</xdr:rowOff>
    </xdr:to>
    <xdr:graphicFrame macro="">
      <xdr:nvGraphicFramePr>
        <xdr:cNvPr id="4" name="Salesperson-wise Sales">
          <a:extLst>
            <a:ext uri="{FF2B5EF4-FFF2-40B4-BE49-F238E27FC236}">
              <a16:creationId xmlns:a16="http://schemas.microsoft.com/office/drawing/2014/main" id="{8B5383E6-6236-4A48-98D2-3B38B06864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152400</xdr:colOff>
      <xdr:row>21</xdr:row>
      <xdr:rowOff>175260</xdr:rowOff>
    </xdr:from>
    <xdr:to>
      <xdr:col>17</xdr:col>
      <xdr:colOff>457200</xdr:colOff>
      <xdr:row>36</xdr:row>
      <xdr:rowOff>175260</xdr:rowOff>
    </xdr:to>
    <xdr:graphicFrame macro="">
      <xdr:nvGraphicFramePr>
        <xdr:cNvPr id="5" name="Target Achievement Status">
          <a:extLst>
            <a:ext uri="{FF2B5EF4-FFF2-40B4-BE49-F238E27FC236}">
              <a16:creationId xmlns:a16="http://schemas.microsoft.com/office/drawing/2014/main" id="{30191C7C-4132-44B8-AD9B-BA7BAA791C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addha Wakale" refreshedDate="46033.816634259259" createdVersion="8" refreshedVersion="8" minRefreshableVersion="3" recordCount="10" xr:uid="{E93F58B1-30A1-48B8-8905-F6F3199178E9}">
  <cacheSource type="worksheet">
    <worksheetSource name="SalesTable"/>
  </cacheSource>
  <cacheFields count="8">
    <cacheField name="Date" numFmtId="14">
      <sharedItems containsSemiMixedTypes="0" containsNonDate="0" containsDate="1" containsString="0" minDate="2025-01-01T00:00:00" maxDate="2025-01-11T00:00:00"/>
    </cacheField>
    <cacheField name="Region" numFmtId="0">
      <sharedItems count="2">
        <s v="West"/>
        <s v="East"/>
      </sharedItems>
    </cacheField>
    <cacheField name="SalesPerson" numFmtId="0">
      <sharedItems count="4">
        <s v="Shraddha"/>
        <s v="Shreyash"/>
        <s v="Shruti"/>
        <s v="Rahul"/>
      </sharedItems>
    </cacheField>
    <cacheField name="Product" numFmtId="0">
      <sharedItems count="3">
        <s v="Laptop"/>
        <s v="Mobile"/>
        <s v="Tab"/>
      </sharedItems>
    </cacheField>
    <cacheField name="Sales" numFmtId="1">
      <sharedItems containsSemiMixedTypes="0" containsString="0" containsNumber="1" containsInteger="1" minValue="22000" maxValue="60000"/>
    </cacheField>
    <cacheField name="Target" numFmtId="1">
      <sharedItems containsSemiMixedTypes="0" containsString="0" containsNumber="1" containsInteger="1" minValue="20000" maxValue="55000"/>
    </cacheField>
    <cacheField name="Target_Status" numFmtId="0">
      <sharedItems count="2">
        <s v="Achieved"/>
        <s v="Not Achieved"/>
      </sharedItems>
    </cacheField>
    <cacheField name="Performance_Percentage" numFmtId="9">
      <sharedItems containsSemiMixedTypes="0" containsString="0" containsNumber="1" minValue="0.8571428571428571" maxValue="1.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d v="2025-01-01T00:00:00"/>
    <x v="0"/>
    <x v="0"/>
    <x v="0"/>
    <n v="45000"/>
    <n v="40000"/>
    <x v="0"/>
    <n v="1.125"/>
  </r>
  <r>
    <d v="2025-01-02T00:00:00"/>
    <x v="1"/>
    <x v="1"/>
    <x v="1"/>
    <n v="30000"/>
    <n v="35000"/>
    <x v="1"/>
    <n v="0.8571428571428571"/>
  </r>
  <r>
    <d v="2025-01-03T00:00:00"/>
    <x v="0"/>
    <x v="2"/>
    <x v="2"/>
    <n v="25000"/>
    <n v="20000"/>
    <x v="0"/>
    <n v="1.25"/>
  </r>
  <r>
    <d v="2025-01-04T00:00:00"/>
    <x v="1"/>
    <x v="3"/>
    <x v="0"/>
    <n v="52000"/>
    <n v="50000"/>
    <x v="0"/>
    <n v="1.04"/>
  </r>
  <r>
    <d v="2025-01-05T00:00:00"/>
    <x v="0"/>
    <x v="0"/>
    <x v="1"/>
    <n v="28000"/>
    <n v="30000"/>
    <x v="1"/>
    <n v="0.93333333333333335"/>
  </r>
  <r>
    <d v="2025-01-06T00:00:00"/>
    <x v="1"/>
    <x v="1"/>
    <x v="2"/>
    <n v="60000"/>
    <n v="55000"/>
    <x v="0"/>
    <n v="1.0909090909090908"/>
  </r>
  <r>
    <d v="2025-01-07T00:00:00"/>
    <x v="0"/>
    <x v="2"/>
    <x v="0"/>
    <n v="32000"/>
    <n v="30000"/>
    <x v="0"/>
    <n v="1.0666666666666667"/>
  </r>
  <r>
    <d v="2025-01-08T00:00:00"/>
    <x v="1"/>
    <x v="3"/>
    <x v="1"/>
    <n v="22000"/>
    <n v="25000"/>
    <x v="1"/>
    <n v="0.88"/>
  </r>
  <r>
    <d v="2025-01-09T00:00:00"/>
    <x v="0"/>
    <x v="0"/>
    <x v="2"/>
    <n v="48000"/>
    <n v="45000"/>
    <x v="0"/>
    <n v="1.0666666666666667"/>
  </r>
  <r>
    <d v="2025-01-10T00:00:00"/>
    <x v="1"/>
    <x v="1"/>
    <x v="0"/>
    <n v="26000"/>
    <n v="25000"/>
    <x v="0"/>
    <n v="1.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0D6B07-463F-4915-836A-A975079B06E0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15:B18" firstHeaderRow="1" firstDataRow="1" firstDataCol="1"/>
  <pivotFields count="8">
    <pivotField numFmtId="14" showAll="0"/>
    <pivotField showAll="0"/>
    <pivotField showAll="0"/>
    <pivotField showAll="0"/>
    <pivotField numFmtId="1" showAll="0"/>
    <pivotField numFmtId="1" showAll="0"/>
    <pivotField axis="axisRow" dataField="1" showAll="0" includeNewItemsInFilter="1">
      <items count="3">
        <item x="0"/>
        <item x="1"/>
        <item t="default"/>
      </items>
    </pivotField>
    <pivotField numFmtId="9"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Count of Target_Status" fld="6" subtotal="count" baseField="0" baseItem="0"/>
  </dataFields>
  <chartFormats count="4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EB7965-8F8A-4F0E-8E28-7A23AE2D4EFE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I1:J6" firstHeaderRow="1" firstDataRow="1" firstDataCol="1"/>
  <pivotFields count="8">
    <pivotField numFmtId="14"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dataField="1" numFmtId="1" showAll="0"/>
    <pivotField numFmtId="1" showAll="0"/>
    <pivotField showAll="0"/>
    <pivotField numFmtId="9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4" baseField="0" baseItem="0" numFmtId="1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1C1DDD-0450-4BAA-945B-FD643D24D789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E1:F5" firstHeaderRow="1" firstDataRow="1" firstDataCol="1"/>
  <pivotFields count="8">
    <pivotField numFmtId="14"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dataField="1" numFmtId="1" showAll="0"/>
    <pivotField numFmtId="1" showAll="0"/>
    <pivotField showAll="0"/>
    <pivotField numFmtId="9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4" baseField="0" baseItem="0" numFmtId="1"/>
  </dataField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ED458D-677F-45F6-9AD6-304B2B521FC6}" name="Region_Sales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1:B4" firstHeaderRow="1" firstDataRow="1" firstDataCol="1"/>
  <pivotFields count="8">
    <pivotField numFmtId="14" showAll="0"/>
    <pivotField axis="axisRow" showAll="0">
      <items count="3">
        <item x="1"/>
        <item x="0"/>
        <item t="default"/>
      </items>
    </pivotField>
    <pivotField showAll="0"/>
    <pivotField showAll="0"/>
    <pivotField dataField="1" numFmtId="1" showAll="0"/>
    <pivotField numFmtId="1" showAll="0"/>
    <pivotField showAll="0"/>
    <pivotField numFmtId="9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of Sales" fld="4" baseField="0" baseItem="0" numFmtId="1"/>
  </dataFields>
  <chartFormats count="2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510995-B95E-4DEC-9109-3567F73A7CB8}" name="SalesTable" displayName="SalesTable" ref="A1:H11" totalsRowShown="0" headerRowDxfId="0" tableBorderDxfId="8">
  <autoFilter ref="A1:H11" xr:uid="{79510995-B95E-4DEC-9109-3567F73A7CB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880CA968-B3ED-4645-8997-8891BDF71E7E}" name="Date" dataDxfId="7"/>
    <tableColumn id="2" xr3:uid="{47798744-8984-4585-8D9F-98A1858AAD44}" name="Region" dataDxfId="6"/>
    <tableColumn id="3" xr3:uid="{1C527EAC-3040-4CE6-90CC-37903A33879D}" name="SalesPerson" dataDxfId="5"/>
    <tableColumn id="4" xr3:uid="{8A4D6020-B9A2-4C24-B71C-9FDD4C83CD7F}" name="Product" dataDxfId="4"/>
    <tableColumn id="5" xr3:uid="{65477DD0-8795-4D00-B15E-B2D528ACB407}" name="Sales" dataDxfId="3"/>
    <tableColumn id="6" xr3:uid="{32041C18-9501-45AD-BDC4-BA139E6D5551}" name="Target" dataDxfId="2"/>
    <tableColumn id="7" xr3:uid="{9B48E480-8E84-4FBF-A472-3A5973E179D1}" name="Target_Status">
      <calculatedColumnFormula>IF(E2&gt;=F2,"Achieved","Not Achieved")</calculatedColumnFormula>
    </tableColumn>
    <tableColumn id="8" xr3:uid="{19AE03C9-EE8F-4CBF-925F-71AF65FBF3E6}" name="Performance_Percentage" dataDxfId="1">
      <calculatedColumnFormula>E2/F2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DC1EC-C3F2-4E06-A5BC-6C52BF1942DB}">
  <dimension ref="A1:H11"/>
  <sheetViews>
    <sheetView workbookViewId="0">
      <selection activeCell="A2" sqref="A2:H11"/>
    </sheetView>
  </sheetViews>
  <sheetFormatPr defaultRowHeight="14.4" x14ac:dyDescent="0.3"/>
  <cols>
    <col min="1" max="1" width="10.33203125" bestFit="1" customWidth="1"/>
    <col min="2" max="2" width="10.21875" customWidth="1"/>
    <col min="3" max="3" width="15.5546875" customWidth="1"/>
    <col min="4" max="4" width="11.109375" customWidth="1"/>
    <col min="5" max="5" width="8.33203125" customWidth="1"/>
    <col min="6" max="6" width="9.6640625" customWidth="1"/>
    <col min="7" max="7" width="17.44140625" customWidth="1"/>
    <col min="8" max="8" width="29.77734375" customWidth="1"/>
  </cols>
  <sheetData>
    <row r="1" spans="1:8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4" t="s">
        <v>15</v>
      </c>
      <c r="H1" s="14" t="s">
        <v>16</v>
      </c>
    </row>
    <row r="2" spans="1:8" x14ac:dyDescent="0.3">
      <c r="A2" s="16">
        <v>45658</v>
      </c>
      <c r="B2" s="4" t="s">
        <v>6</v>
      </c>
      <c r="C2" s="4" t="s">
        <v>8</v>
      </c>
      <c r="D2" s="4" t="s">
        <v>12</v>
      </c>
      <c r="E2" s="5">
        <v>45000</v>
      </c>
      <c r="F2" s="6">
        <v>40000</v>
      </c>
      <c r="G2" s="3" t="str">
        <f>IF(E2&gt;=F2,"Achieved","Not Achieved")</f>
        <v>Achieved</v>
      </c>
      <c r="H2" s="15">
        <f>E2/F2</f>
        <v>1.125</v>
      </c>
    </row>
    <row r="3" spans="1:8" x14ac:dyDescent="0.3">
      <c r="A3" s="17">
        <v>45659</v>
      </c>
      <c r="B3" s="3" t="s">
        <v>7</v>
      </c>
      <c r="C3" s="8" t="s">
        <v>9</v>
      </c>
      <c r="D3" s="8" t="s">
        <v>13</v>
      </c>
      <c r="E3" s="9">
        <v>30000</v>
      </c>
      <c r="F3" s="10">
        <v>35000</v>
      </c>
      <c r="G3" s="7" t="str">
        <f>IF(E3&gt;=F3,"Achieved","Not Achieved")</f>
        <v>Not Achieved</v>
      </c>
      <c r="H3" s="19">
        <f t="shared" ref="H3:H11" si="0">E3/F3</f>
        <v>0.8571428571428571</v>
      </c>
    </row>
    <row r="4" spans="1:8" x14ac:dyDescent="0.3">
      <c r="A4" s="16">
        <v>45660</v>
      </c>
      <c r="B4" s="4" t="s">
        <v>6</v>
      </c>
      <c r="C4" s="4" t="s">
        <v>10</v>
      </c>
      <c r="D4" s="4" t="s">
        <v>14</v>
      </c>
      <c r="E4" s="5">
        <v>25000</v>
      </c>
      <c r="F4" s="6">
        <v>20000</v>
      </c>
      <c r="G4" s="3" t="str">
        <f t="shared" ref="G3:G11" si="1">IF(E4&gt;=F4,"Achieved","Not Achieved")</f>
        <v>Achieved</v>
      </c>
      <c r="H4" s="15">
        <f t="shared" si="0"/>
        <v>1.25</v>
      </c>
    </row>
    <row r="5" spans="1:8" x14ac:dyDescent="0.3">
      <c r="A5" s="17">
        <v>45661</v>
      </c>
      <c r="B5" s="8" t="s">
        <v>7</v>
      </c>
      <c r="C5" s="8" t="s">
        <v>11</v>
      </c>
      <c r="D5" s="8" t="s">
        <v>12</v>
      </c>
      <c r="E5" s="9">
        <v>52000</v>
      </c>
      <c r="F5" s="10">
        <v>50000</v>
      </c>
      <c r="G5" s="8" t="str">
        <f t="shared" si="1"/>
        <v>Achieved</v>
      </c>
      <c r="H5" s="19">
        <f t="shared" si="0"/>
        <v>1.04</v>
      </c>
    </row>
    <row r="6" spans="1:8" x14ac:dyDescent="0.3">
      <c r="A6" s="16">
        <v>45662</v>
      </c>
      <c r="B6" s="4" t="s">
        <v>6</v>
      </c>
      <c r="C6" s="4" t="s">
        <v>8</v>
      </c>
      <c r="D6" s="4" t="s">
        <v>13</v>
      </c>
      <c r="E6" s="5">
        <v>28000</v>
      </c>
      <c r="F6" s="6">
        <v>30000</v>
      </c>
      <c r="G6" s="6" t="str">
        <f t="shared" si="1"/>
        <v>Not Achieved</v>
      </c>
      <c r="H6" s="15">
        <f t="shared" si="0"/>
        <v>0.93333333333333335</v>
      </c>
    </row>
    <row r="7" spans="1:8" x14ac:dyDescent="0.3">
      <c r="A7" s="17">
        <v>45663</v>
      </c>
      <c r="B7" s="8" t="s">
        <v>7</v>
      </c>
      <c r="C7" s="8" t="s">
        <v>9</v>
      </c>
      <c r="D7" s="8" t="s">
        <v>14</v>
      </c>
      <c r="E7" s="9">
        <v>60000</v>
      </c>
      <c r="F7" s="10">
        <v>55000</v>
      </c>
      <c r="G7" s="10" t="str">
        <f t="shared" si="1"/>
        <v>Achieved</v>
      </c>
      <c r="H7" s="19">
        <f t="shared" si="0"/>
        <v>1.0909090909090908</v>
      </c>
    </row>
    <row r="8" spans="1:8" x14ac:dyDescent="0.3">
      <c r="A8" s="16">
        <v>45664</v>
      </c>
      <c r="B8" s="4" t="s">
        <v>6</v>
      </c>
      <c r="C8" s="4" t="s">
        <v>10</v>
      </c>
      <c r="D8" s="4" t="s">
        <v>12</v>
      </c>
      <c r="E8" s="5">
        <v>32000</v>
      </c>
      <c r="F8" s="6">
        <v>30000</v>
      </c>
      <c r="G8" s="6" t="str">
        <f t="shared" si="1"/>
        <v>Achieved</v>
      </c>
      <c r="H8" s="15">
        <f t="shared" si="0"/>
        <v>1.0666666666666667</v>
      </c>
    </row>
    <row r="9" spans="1:8" x14ac:dyDescent="0.3">
      <c r="A9" s="17">
        <v>45665</v>
      </c>
      <c r="B9" s="8" t="s">
        <v>7</v>
      </c>
      <c r="C9" s="8" t="s">
        <v>11</v>
      </c>
      <c r="D9" s="8" t="s">
        <v>13</v>
      </c>
      <c r="E9" s="9">
        <v>22000</v>
      </c>
      <c r="F9" s="10">
        <v>25000</v>
      </c>
      <c r="G9" s="10" t="str">
        <f t="shared" si="1"/>
        <v>Not Achieved</v>
      </c>
      <c r="H9" s="19">
        <f t="shared" si="0"/>
        <v>0.88</v>
      </c>
    </row>
    <row r="10" spans="1:8" x14ac:dyDescent="0.3">
      <c r="A10" s="16">
        <v>45666</v>
      </c>
      <c r="B10" s="4" t="s">
        <v>6</v>
      </c>
      <c r="C10" s="4" t="s">
        <v>8</v>
      </c>
      <c r="D10" s="4" t="s">
        <v>14</v>
      </c>
      <c r="E10" s="5">
        <v>48000</v>
      </c>
      <c r="F10" s="6">
        <v>45000</v>
      </c>
      <c r="G10" s="6" t="str">
        <f t="shared" si="1"/>
        <v>Achieved</v>
      </c>
      <c r="H10" s="15">
        <f t="shared" si="0"/>
        <v>1.0666666666666667</v>
      </c>
    </row>
    <row r="11" spans="1:8" x14ac:dyDescent="0.3">
      <c r="A11" s="18">
        <v>45667</v>
      </c>
      <c r="B11" s="11" t="s">
        <v>7</v>
      </c>
      <c r="C11" s="11" t="s">
        <v>9</v>
      </c>
      <c r="D11" s="11" t="s">
        <v>12</v>
      </c>
      <c r="E11" s="12">
        <v>26000</v>
      </c>
      <c r="F11" s="13">
        <v>25000</v>
      </c>
      <c r="G11" t="str">
        <f t="shared" si="1"/>
        <v>Achieved</v>
      </c>
      <c r="H11" s="19">
        <f>E11/F11</f>
        <v>1.04</v>
      </c>
    </row>
  </sheetData>
  <conditionalFormatting sqref="G11">
    <cfRule type="cellIs" dxfId="9" priority="1" operator="greaterThan">
      <formula>"Achieved"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E53F2-6C70-4567-89AF-6CDC84FD5922}">
  <dimension ref="A1:J18"/>
  <sheetViews>
    <sheetView workbookViewId="0">
      <selection activeCell="A15" sqref="A15:B18"/>
    </sheetView>
  </sheetViews>
  <sheetFormatPr defaultRowHeight="14.4" x14ac:dyDescent="0.3"/>
  <cols>
    <col min="1" max="1" width="12.5546875" bestFit="1" customWidth="1"/>
    <col min="2" max="2" width="20.5546875" bestFit="1" customWidth="1"/>
    <col min="5" max="5" width="12.5546875" bestFit="1" customWidth="1"/>
    <col min="6" max="6" width="11.6640625" bestFit="1" customWidth="1"/>
    <col min="9" max="9" width="12.5546875" bestFit="1" customWidth="1"/>
    <col min="10" max="10" width="11.6640625" bestFit="1" customWidth="1"/>
  </cols>
  <sheetData>
    <row r="1" spans="1:10" x14ac:dyDescent="0.3">
      <c r="A1" s="20" t="s">
        <v>17</v>
      </c>
      <c r="B1" t="s">
        <v>19</v>
      </c>
      <c r="E1" s="20" t="s">
        <v>17</v>
      </c>
      <c r="F1" t="s">
        <v>19</v>
      </c>
      <c r="I1" s="20" t="s">
        <v>17</v>
      </c>
      <c r="J1" t="s">
        <v>19</v>
      </c>
    </row>
    <row r="2" spans="1:10" x14ac:dyDescent="0.3">
      <c r="A2" s="21" t="s">
        <v>7</v>
      </c>
      <c r="B2" s="22">
        <v>190000</v>
      </c>
      <c r="E2" s="21" t="s">
        <v>12</v>
      </c>
      <c r="F2" s="22">
        <v>155000</v>
      </c>
      <c r="I2" s="21" t="s">
        <v>11</v>
      </c>
      <c r="J2" s="22">
        <v>74000</v>
      </c>
    </row>
    <row r="3" spans="1:10" x14ac:dyDescent="0.3">
      <c r="A3" s="21" t="s">
        <v>6</v>
      </c>
      <c r="B3" s="22">
        <v>178000</v>
      </c>
      <c r="E3" s="21" t="s">
        <v>13</v>
      </c>
      <c r="F3" s="22">
        <v>80000</v>
      </c>
      <c r="I3" s="21" t="s">
        <v>8</v>
      </c>
      <c r="J3" s="22">
        <v>121000</v>
      </c>
    </row>
    <row r="4" spans="1:10" x14ac:dyDescent="0.3">
      <c r="A4" s="21" t="s">
        <v>18</v>
      </c>
      <c r="B4" s="22">
        <v>368000</v>
      </c>
      <c r="E4" s="21" t="s">
        <v>14</v>
      </c>
      <c r="F4" s="22">
        <v>133000</v>
      </c>
      <c r="I4" s="21" t="s">
        <v>9</v>
      </c>
      <c r="J4" s="22">
        <v>116000</v>
      </c>
    </row>
    <row r="5" spans="1:10" x14ac:dyDescent="0.3">
      <c r="E5" s="21" t="s">
        <v>18</v>
      </c>
      <c r="F5" s="22">
        <v>368000</v>
      </c>
      <c r="I5" s="21" t="s">
        <v>10</v>
      </c>
      <c r="J5" s="22">
        <v>57000</v>
      </c>
    </row>
    <row r="6" spans="1:10" x14ac:dyDescent="0.3">
      <c r="I6" s="21" t="s">
        <v>18</v>
      </c>
      <c r="J6" s="22">
        <v>368000</v>
      </c>
    </row>
    <row r="15" spans="1:10" x14ac:dyDescent="0.3">
      <c r="A15" s="20" t="s">
        <v>17</v>
      </c>
      <c r="B15" t="s">
        <v>22</v>
      </c>
    </row>
    <row r="16" spans="1:10" x14ac:dyDescent="0.3">
      <c r="A16" s="21" t="s">
        <v>20</v>
      </c>
      <c r="B16" s="23">
        <v>7</v>
      </c>
    </row>
    <row r="17" spans="1:2" x14ac:dyDescent="0.3">
      <c r="A17" s="21" t="s">
        <v>21</v>
      </c>
      <c r="B17" s="23">
        <v>3</v>
      </c>
    </row>
    <row r="18" spans="1:2" x14ac:dyDescent="0.3">
      <c r="A18" s="21" t="s">
        <v>18</v>
      </c>
      <c r="B18" s="23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74582-F1DA-41FB-84A4-FA2257C7CE0C}">
  <dimension ref="A1"/>
  <sheetViews>
    <sheetView tabSelected="1" topLeftCell="A5" zoomScale="69" workbookViewId="0">
      <selection activeCell="U3" sqref="U3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Shraddha Wakale</dc:creator>
  <cp:lastModifiedBy>Shraddha Wakale</cp:lastModifiedBy>
  <dcterms:created xsi:type="dcterms:W3CDTF">2026-01-11T13:13:22Z</dcterms:created>
  <dcterms:modified xsi:type="dcterms:W3CDTF">2026-01-11T14:41:04Z</dcterms:modified>
</cp:coreProperties>
</file>